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本金台账与配比总览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<sst xmlns="http://schemas.openxmlformats.org/spreadsheetml/2006/main" count="55" uniqueCount="52">
  <si>
    <r>
      <rPr>
        <b val="true"/>
        <sz val="15"/>
        <color rgb="FFFFFFFF"/>
        <rFont val="Noto Sans CJK SC"/>
        <family val="2"/>
      </rPr>
      <t xml:space="preserve">投资本金记录与 </t>
    </r>
    <r>
      <rPr>
        <b val="true"/>
        <sz val="15"/>
        <color rgb="FFFFFFFF"/>
        <rFont val="Calibri"/>
        <family val="0"/>
        <charset val="1"/>
      </rPr>
      <t xml:space="preserve">70/30 </t>
    </r>
    <r>
      <rPr>
        <b val="true"/>
        <sz val="15"/>
        <color rgb="FFFFFFFF"/>
        <rFont val="Noto Sans CJK SC"/>
        <family val="2"/>
      </rPr>
      <t xml:space="preserve">目标配比台账 </t>
    </r>
    <r>
      <rPr>
        <b val="true"/>
        <sz val="15"/>
        <color rgb="FFFFFFFF"/>
        <rFont val="Calibri"/>
        <family val="0"/>
        <charset val="1"/>
      </rPr>
      <t xml:space="preserve">(Investment Capital Ledger)</t>
    </r>
  </si>
  <si>
    <r>
      <rPr>
        <i val="true"/>
        <sz val="9.5"/>
        <color rgb="FF1E293B"/>
        <rFont val="Noto Sans CJK SC"/>
        <family val="2"/>
      </rPr>
      <t xml:space="preserve">使用说明：在下方「表二：历史本金投入流水表」白色单元格中填入每次新增本金（</t>
    </r>
    <r>
      <rPr>
        <i val="true"/>
        <sz val="9.5"/>
        <color rgb="FF1E293B"/>
        <rFont val="Calibri"/>
        <family val="0"/>
        <charset val="1"/>
      </rPr>
      <t xml:space="preserve">USD</t>
    </r>
    <r>
      <rPr>
        <i val="true"/>
        <sz val="9.5"/>
        <color rgb="FF1E293B"/>
        <rFont val="Noto Sans CJK SC"/>
        <family val="2"/>
      </rPr>
      <t xml:space="preserve">），顶部 </t>
    </r>
    <r>
      <rPr>
        <i val="true"/>
        <sz val="9.5"/>
        <color rgb="FF1E293B"/>
        <rFont val="Calibri"/>
        <family val="0"/>
        <charset val="1"/>
      </rPr>
      <t xml:space="preserve">KPI </t>
    </r>
    <r>
      <rPr>
        <i val="true"/>
        <sz val="9.5"/>
        <color rgb="FF1E293B"/>
        <rFont val="Noto Sans CJK SC"/>
        <family val="2"/>
      </rPr>
      <t xml:space="preserve">卡片与「表一：目标配比拆解」将自动重新计算。数据来源：用户实际投入记录 </t>
    </r>
    <r>
      <rPr>
        <i val="true"/>
        <sz val="9.5"/>
        <color rgb="FF1E293B"/>
        <rFont val="Calibri"/>
        <family val="0"/>
        <charset val="1"/>
      </rPr>
      <t xml:space="preserve">($3,157.24)</t>
    </r>
    <r>
      <rPr>
        <i val="true"/>
        <sz val="9.5"/>
        <color rgb="FF1E293B"/>
        <rFont val="Noto Sans CJK SC"/>
        <family val="2"/>
      </rPr>
      <t xml:space="preserve">。</t>
    </r>
  </si>
  <si>
    <r>
      <rPr>
        <b val="true"/>
        <sz val="9.5"/>
        <color rgb="FFFFFFFF"/>
        <rFont val="Noto Sans CJK SC"/>
        <family val="2"/>
      </rPr>
      <t xml:space="preserve">累计已投入总本金 </t>
    </r>
    <r>
      <rPr>
        <b val="true"/>
        <sz val="9.5"/>
        <color rgb="FFFFFFFF"/>
        <rFont val="Calibri"/>
        <family val="0"/>
        <charset val="1"/>
      </rPr>
      <t xml:space="preserve">(USD)</t>
    </r>
  </si>
  <si>
    <r>
      <rPr>
        <b val="true"/>
        <sz val="9.5"/>
        <color rgb="FFFFFFFF"/>
        <rFont val="Noto Sans CJK SC"/>
        <family val="2"/>
      </rPr>
      <t xml:space="preserve">全球权益目标金额 </t>
    </r>
    <r>
      <rPr>
        <b val="true"/>
        <sz val="9.5"/>
        <color rgb="FFFFFFFF"/>
        <rFont val="Calibri"/>
        <family val="0"/>
        <charset val="1"/>
      </rPr>
      <t xml:space="preserve">(70%)</t>
    </r>
  </si>
  <si>
    <r>
      <rPr>
        <b val="true"/>
        <sz val="9.5"/>
        <color rgb="FFFFFFFF"/>
        <rFont val="Noto Sans CJK SC"/>
        <family val="2"/>
      </rPr>
      <t xml:space="preserve">美国国债目标金额 </t>
    </r>
    <r>
      <rPr>
        <b val="true"/>
        <sz val="9.5"/>
        <color rgb="FFFFFFFF"/>
        <rFont val="Calibri"/>
        <family val="0"/>
        <charset val="1"/>
      </rPr>
      <t xml:space="preserve">(30%)</t>
    </r>
  </si>
  <si>
    <t xml:space="preserve">组合加权年化费率</t>
  </si>
  <si>
    <t xml:space="preserve">动态汇总「表二」全部本金</t>
  </si>
  <si>
    <t xml:space="preserve">VOO (30%) + QQQM (30%) + VEA (10%)</t>
  </si>
  <si>
    <r>
      <rPr>
        <sz val="8.5"/>
        <color rgb="FF475569"/>
        <rFont val="Calibri"/>
        <family val="0"/>
        <charset val="1"/>
      </rPr>
      <t xml:space="preserve">VGIT </t>
    </r>
    <r>
      <rPr>
        <sz val="8.5"/>
        <color rgb="FF475569"/>
        <rFont val="Noto Sans CJK SC"/>
        <family val="2"/>
      </rPr>
      <t xml:space="preserve">中期国债防守与抄底垫</t>
    </r>
  </si>
  <si>
    <r>
      <rPr>
        <sz val="8.5"/>
        <color rgb="FF475569"/>
        <rFont val="Noto Sans CJK SC"/>
        <family val="2"/>
      </rPr>
      <t xml:space="preserve">极低摩擦成本（首年约 </t>
    </r>
    <r>
      <rPr>
        <sz val="8.5"/>
        <color rgb="FF475569"/>
        <rFont val="Calibri"/>
        <family val="0"/>
        <charset val="1"/>
      </rPr>
      <t xml:space="preserve">$2.08</t>
    </r>
    <r>
      <rPr>
        <sz val="8.5"/>
        <color rgb="FF475569"/>
        <rFont val="Noto Sans CJK SC"/>
        <family val="2"/>
      </rPr>
      <t xml:space="preserve">）</t>
    </r>
  </si>
  <si>
    <t xml:space="preserve">资产模块</t>
  </si>
  <si>
    <t xml:space="preserve">标的代码</t>
  </si>
  <si>
    <t xml:space="preserve">官方产品页链接</t>
  </si>
  <si>
    <t xml:space="preserve">目标配置权重</t>
  </si>
  <si>
    <r>
      <rPr>
        <b val="true"/>
        <sz val="10"/>
        <color rgb="FFFFFFFF"/>
        <rFont val="Noto Sans CJK SC"/>
        <family val="2"/>
      </rPr>
      <t xml:space="preserve">目标分配本金 </t>
    </r>
    <r>
      <rPr>
        <b val="true"/>
        <sz val="10"/>
        <color rgb="FFFFFFFF"/>
        <rFont val="Calibri"/>
        <family val="0"/>
        <charset val="1"/>
      </rPr>
      <t xml:space="preserve">[Auto]</t>
    </r>
  </si>
  <si>
    <t xml:space="preserve">标的年化费率</t>
  </si>
  <si>
    <r>
      <rPr>
        <b val="true"/>
        <sz val="10"/>
        <color rgb="FFFFFFFF"/>
        <rFont val="Noto Sans CJK SC"/>
        <family val="2"/>
      </rPr>
      <t xml:space="preserve">预估年管理费 </t>
    </r>
    <r>
      <rPr>
        <b val="true"/>
        <sz val="10"/>
        <color rgb="FFFFFFFF"/>
        <rFont val="Calibri"/>
        <family val="0"/>
        <charset val="1"/>
      </rPr>
      <t xml:space="preserve">[Auto]</t>
    </r>
  </si>
  <si>
    <r>
      <rPr>
        <b val="true"/>
        <sz val="10"/>
        <color rgb="FFFFFFFF"/>
        <rFont val="Noto Sans CJK SC"/>
        <family val="2"/>
      </rPr>
      <t xml:space="preserve">再平衡触发区间 </t>
    </r>
    <r>
      <rPr>
        <b val="true"/>
        <sz val="10"/>
        <color rgb="FFFFFFFF"/>
        <rFont val="Calibri"/>
        <family val="0"/>
        <charset val="1"/>
      </rPr>
      <t xml:space="preserve">(±5%)</t>
    </r>
  </si>
  <si>
    <t xml:space="preserve">美股全行业底座</t>
  </si>
  <si>
    <t xml:space="preserve">VOO</t>
  </si>
  <si>
    <t xml:space="preserve">25.0% – 35.0%</t>
  </si>
  <si>
    <t xml:space="preserve">美股科技成长卫星</t>
  </si>
  <si>
    <t xml:space="preserve">QQQM</t>
  </si>
  <si>
    <t xml:space="preserve">非美发达国家股票</t>
  </si>
  <si>
    <t xml:space="preserve">VEA / SCHF</t>
  </si>
  <si>
    <t xml:space="preserve">5.0% – 15.0%</t>
  </si>
  <si>
    <t xml:space="preserve">美国中期国债</t>
  </si>
  <si>
    <t xml:space="preserve">VGIT</t>
  </si>
  <si>
    <r>
      <rPr>
        <b val="true"/>
        <sz val="10"/>
        <color rgb="FF1B365D"/>
        <rFont val="Noto Sans CJK SC"/>
        <family val="2"/>
      </rPr>
      <t xml:space="preserve">合计 </t>
    </r>
    <r>
      <rPr>
        <b val="true"/>
        <sz val="10"/>
        <color rgb="FF1B365D"/>
        <rFont val="Calibri"/>
        <family val="0"/>
        <charset val="1"/>
      </rPr>
      <t xml:space="preserve">/ </t>
    </r>
    <r>
      <rPr>
        <b val="true"/>
        <sz val="10"/>
        <color rgb="FF1B365D"/>
        <rFont val="Noto Sans CJK SC"/>
        <family val="2"/>
      </rPr>
      <t xml:space="preserve">加权指标</t>
    </r>
  </si>
  <si>
    <t xml:space="preserve">—</t>
  </si>
  <si>
    <r>
      <rPr>
        <b val="true"/>
        <sz val="10"/>
        <color rgb="FF1B365D"/>
        <rFont val="Calibri"/>
        <family val="0"/>
        <charset val="1"/>
      </rPr>
      <t xml:space="preserve">70% </t>
    </r>
    <r>
      <rPr>
        <b val="true"/>
        <sz val="10"/>
        <color rgb="FF1B365D"/>
        <rFont val="Noto Sans CJK SC"/>
        <family val="2"/>
      </rPr>
      <t xml:space="preserve">全球权益 </t>
    </r>
    <r>
      <rPr>
        <b val="true"/>
        <sz val="10"/>
        <color rgb="FF1B365D"/>
        <rFont val="Calibri"/>
        <family val="0"/>
        <charset val="1"/>
      </rPr>
      <t xml:space="preserve">+ 30% </t>
    </r>
    <r>
      <rPr>
        <b val="true"/>
        <sz val="10"/>
        <color rgb="FF1B365D"/>
        <rFont val="Noto Sans CJK SC"/>
        <family val="2"/>
      </rPr>
      <t xml:space="preserve">美国国债</t>
    </r>
  </si>
  <si>
    <r>
      <rPr>
        <b val="true"/>
        <sz val="10"/>
        <color rgb="FF1B365D"/>
        <rFont val="Noto Sans CJK SC"/>
        <family val="2"/>
      </rPr>
      <t xml:space="preserve">每年</t>
    </r>
    <r>
      <rPr>
        <b val="true"/>
        <sz val="10"/>
        <color rgb="FF1B365D"/>
        <rFont val="Calibri"/>
        <family val="0"/>
        <charset val="1"/>
      </rPr>
      <t xml:space="preserve">1</t>
    </r>
    <r>
      <rPr>
        <b val="true"/>
        <sz val="10"/>
        <color rgb="FF1B365D"/>
        <rFont val="Noto Sans CJK SC"/>
        <family val="2"/>
      </rPr>
      <t xml:space="preserve">月定检 </t>
    </r>
    <r>
      <rPr>
        <b val="true"/>
        <sz val="10"/>
        <color rgb="FF1B365D"/>
        <rFont val="Calibri"/>
        <family val="0"/>
        <charset val="1"/>
      </rPr>
      <t xml:space="preserve">/ ±5%</t>
    </r>
    <r>
      <rPr>
        <b val="true"/>
        <sz val="10"/>
        <color rgb="FF1B365D"/>
        <rFont val="Noto Sans CJK SC"/>
        <family val="2"/>
      </rPr>
      <t xml:space="preserve">触发</t>
    </r>
  </si>
  <si>
    <t xml:space="preserve">投入期数</t>
  </si>
  <si>
    <r>
      <rPr>
        <b val="true"/>
        <sz val="10"/>
        <color rgb="FFFFFFFF"/>
        <rFont val="Noto Sans CJK SC"/>
        <family val="2"/>
      </rPr>
      <t xml:space="preserve">记录日期 </t>
    </r>
    <r>
      <rPr>
        <b val="true"/>
        <sz val="10"/>
        <color rgb="FFFFFFFF"/>
        <rFont val="Calibri"/>
        <family val="0"/>
        <charset val="1"/>
      </rPr>
      <t xml:space="preserve">/ </t>
    </r>
    <r>
      <rPr>
        <b val="true"/>
        <sz val="10"/>
        <color rgb="FFFFFFFF"/>
        <rFont val="Noto Sans CJK SC"/>
        <family val="2"/>
      </rPr>
      <t xml:space="preserve">状态</t>
    </r>
  </si>
  <si>
    <t xml:space="preserve">资金性质说明</t>
  </si>
  <si>
    <r>
      <rPr>
        <b val="true"/>
        <sz val="10"/>
        <color rgb="FFFFFFFF"/>
        <rFont val="Noto Sans CJK SC"/>
        <family val="2"/>
      </rPr>
      <t xml:space="preserve">单笔投入本金 </t>
    </r>
    <r>
      <rPr>
        <b val="true"/>
        <sz val="10"/>
        <color rgb="FFFFFFFF"/>
        <rFont val="Calibri"/>
        <family val="0"/>
        <charset val="1"/>
      </rPr>
      <t xml:space="preserve">(USD)</t>
    </r>
  </si>
  <si>
    <r>
      <rPr>
        <b val="true"/>
        <sz val="10"/>
        <color rgb="FFFFFFFF"/>
        <rFont val="Noto Sans CJK SC"/>
        <family val="2"/>
      </rPr>
      <t xml:space="preserve">累计投入本金 </t>
    </r>
    <r>
      <rPr>
        <b val="true"/>
        <sz val="10"/>
        <color rgb="FFFFFFFF"/>
        <rFont val="Calibri"/>
        <family val="0"/>
        <charset val="1"/>
      </rPr>
      <t xml:space="preserve">[Auto]</t>
    </r>
  </si>
  <si>
    <r>
      <rPr>
        <b val="true"/>
        <sz val="10"/>
        <color rgb="FFFFFFFF"/>
        <rFont val="Noto Sans CJK SC"/>
        <family val="2"/>
      </rPr>
      <t xml:space="preserve">应配美股 </t>
    </r>
    <r>
      <rPr>
        <b val="true"/>
        <sz val="10"/>
        <color rgb="FFFFFFFF"/>
        <rFont val="Calibri"/>
        <family val="0"/>
        <charset val="1"/>
      </rPr>
      <t xml:space="preserve">VOO+QQQM (60%) [Auto]</t>
    </r>
  </si>
  <si>
    <r>
      <rPr>
        <b val="true"/>
        <sz val="10"/>
        <color rgb="FFFFFFFF"/>
        <rFont val="Noto Sans CJK SC"/>
        <family val="2"/>
      </rPr>
      <t xml:space="preserve">应配非美 </t>
    </r>
    <r>
      <rPr>
        <b val="true"/>
        <sz val="10"/>
        <color rgb="FFFFFFFF"/>
        <rFont val="Calibri"/>
        <family val="0"/>
        <charset val="1"/>
      </rPr>
      <t xml:space="preserve">VEA/SCHF (10%) [Auto]</t>
    </r>
  </si>
  <si>
    <r>
      <rPr>
        <b val="true"/>
        <sz val="10"/>
        <color rgb="FFFFFFFF"/>
        <rFont val="Noto Sans CJK SC"/>
        <family val="2"/>
      </rPr>
      <t xml:space="preserve">应配美债 </t>
    </r>
    <r>
      <rPr>
        <b val="true"/>
        <sz val="10"/>
        <color rgb="FFFFFFFF"/>
        <rFont val="Calibri"/>
        <family val="0"/>
        <charset val="1"/>
      </rPr>
      <t xml:space="preserve">VGIT (30%) [Auto]</t>
    </r>
  </si>
  <si>
    <r>
      <rPr>
        <sz val="10"/>
        <color rgb="FF0F172A"/>
        <rFont val="Noto Sans CJK SC"/>
        <family val="2"/>
      </rPr>
      <t xml:space="preserve">第 </t>
    </r>
    <r>
      <rPr>
        <sz val="10"/>
        <color rgb="FF0F172A"/>
        <rFont val="Calibri"/>
        <family val="0"/>
        <charset val="1"/>
      </rPr>
      <t xml:space="preserve">1 </t>
    </r>
    <r>
      <rPr>
        <sz val="10"/>
        <color rgb="FF0F172A"/>
        <rFont val="Noto Sans CJK SC"/>
        <family val="2"/>
      </rPr>
      <t xml:space="preserve">期</t>
    </r>
  </si>
  <si>
    <r>
      <rPr>
        <sz val="10"/>
        <color rgb="FF0F172A"/>
        <rFont val="Calibri"/>
        <family val="0"/>
        <charset val="1"/>
      </rPr>
      <t xml:space="preserve">2026-10-15 (</t>
    </r>
    <r>
      <rPr>
        <sz val="10"/>
        <color rgb="FF0F172A"/>
        <rFont val="Noto Sans CJK SC"/>
        <family val="2"/>
      </rPr>
      <t xml:space="preserve">已投入</t>
    </r>
    <r>
      <rPr>
        <sz val="10"/>
        <color rgb="FF0F172A"/>
        <rFont val="Calibri"/>
        <family val="0"/>
        <charset val="1"/>
      </rPr>
      <t xml:space="preserve">)</t>
    </r>
  </si>
  <si>
    <t xml:space="preserve">上次已投入初始本金记录</t>
  </si>
  <si>
    <r>
      <rPr>
        <sz val="10"/>
        <color rgb="FF0F172A"/>
        <rFont val="Noto Sans CJK SC"/>
        <family val="2"/>
      </rPr>
      <t xml:space="preserve">第 </t>
    </r>
    <r>
      <rPr>
        <sz val="10"/>
        <color rgb="FF0F172A"/>
        <rFont val="Calibri"/>
        <family val="0"/>
        <charset val="1"/>
      </rPr>
      <t xml:space="preserve">2 </t>
    </r>
    <r>
      <rPr>
        <sz val="10"/>
        <color rgb="FF0F172A"/>
        <rFont val="Noto Sans CJK SC"/>
        <family val="2"/>
      </rPr>
      <t xml:space="preserve">期</t>
    </r>
  </si>
  <si>
    <r>
      <rPr>
        <sz val="10"/>
        <color rgb="FF0F172A"/>
        <rFont val="Noto Sans CJK SC"/>
        <family val="2"/>
      </rPr>
      <t xml:space="preserve">第 </t>
    </r>
    <r>
      <rPr>
        <sz val="10"/>
        <color rgb="FF0F172A"/>
        <rFont val="Calibri"/>
        <family val="0"/>
        <charset val="1"/>
      </rPr>
      <t xml:space="preserve">3 </t>
    </r>
    <r>
      <rPr>
        <sz val="10"/>
        <color rgb="FF0F172A"/>
        <rFont val="Noto Sans CJK SC"/>
        <family val="2"/>
      </rPr>
      <t xml:space="preserve">期</t>
    </r>
  </si>
  <si>
    <r>
      <rPr>
        <sz val="10"/>
        <color rgb="FF0F172A"/>
        <rFont val="Noto Sans CJK SC"/>
        <family val="2"/>
      </rPr>
      <t xml:space="preserve">第 </t>
    </r>
    <r>
      <rPr>
        <sz val="10"/>
        <color rgb="FF0F172A"/>
        <rFont val="Calibri"/>
        <family val="0"/>
        <charset val="1"/>
      </rPr>
      <t xml:space="preserve">4 </t>
    </r>
    <r>
      <rPr>
        <sz val="10"/>
        <color rgb="FF0F172A"/>
        <rFont val="Noto Sans CJK SC"/>
        <family val="2"/>
      </rPr>
      <t xml:space="preserve">期</t>
    </r>
  </si>
  <si>
    <r>
      <rPr>
        <sz val="10"/>
        <color rgb="FF0F172A"/>
        <rFont val="Noto Sans CJK SC"/>
        <family val="2"/>
      </rPr>
      <t xml:space="preserve">第 </t>
    </r>
    <r>
      <rPr>
        <sz val="10"/>
        <color rgb="FF0F172A"/>
        <rFont val="Calibri"/>
        <family val="0"/>
        <charset val="1"/>
      </rPr>
      <t xml:space="preserve">5 </t>
    </r>
    <r>
      <rPr>
        <sz val="10"/>
        <color rgb="FF0F172A"/>
        <rFont val="Noto Sans CJK SC"/>
        <family val="2"/>
      </rPr>
      <t xml:space="preserve">期</t>
    </r>
  </si>
  <si>
    <r>
      <rPr>
        <sz val="10"/>
        <color rgb="FF0F172A"/>
        <rFont val="Noto Sans CJK SC"/>
        <family val="2"/>
      </rPr>
      <t xml:space="preserve">第 </t>
    </r>
    <r>
      <rPr>
        <sz val="10"/>
        <color rgb="FF0F172A"/>
        <rFont val="Calibri"/>
        <family val="0"/>
        <charset val="1"/>
      </rPr>
      <t xml:space="preserve">6 </t>
    </r>
    <r>
      <rPr>
        <sz val="10"/>
        <color rgb="FF0F172A"/>
        <rFont val="Noto Sans CJK SC"/>
        <family val="2"/>
      </rPr>
      <t xml:space="preserve">期</t>
    </r>
  </si>
  <si>
    <r>
      <rPr>
        <sz val="10"/>
        <color rgb="FF0F172A"/>
        <rFont val="Noto Sans CJK SC"/>
        <family val="2"/>
      </rPr>
      <t xml:space="preserve">第 </t>
    </r>
    <r>
      <rPr>
        <sz val="10"/>
        <color rgb="FF0F172A"/>
        <rFont val="Calibri"/>
        <family val="0"/>
        <charset val="1"/>
      </rPr>
      <t xml:space="preserve">7 </t>
    </r>
    <r>
      <rPr>
        <sz val="10"/>
        <color rgb="FF0F172A"/>
        <rFont val="Noto Sans CJK SC"/>
        <family val="2"/>
      </rPr>
      <t xml:space="preserve">期</t>
    </r>
  </si>
  <si>
    <r>
      <rPr>
        <sz val="10"/>
        <color rgb="FF0F172A"/>
        <rFont val="Noto Sans CJK SC"/>
        <family val="2"/>
      </rPr>
      <t xml:space="preserve">第 </t>
    </r>
    <r>
      <rPr>
        <sz val="10"/>
        <color rgb="FF0F172A"/>
        <rFont val="Calibri"/>
        <family val="0"/>
        <charset val="1"/>
      </rPr>
      <t xml:space="preserve">8 </t>
    </r>
    <r>
      <rPr>
        <sz val="10"/>
        <color rgb="FF0F172A"/>
        <rFont val="Noto Sans CJK SC"/>
        <family val="2"/>
      </rPr>
      <t xml:space="preserve">期</t>
    </r>
  </si>
  <si>
    <t xml:space="preserve">累计汇总</t>
  </si>
  <si>
    <t xml:space="preserve">已投入本金总额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</si>
</sst>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0.000%"/>
    <numFmt numFmtId="167" formatCode="General"/>
    <numFmt numFmtId="168" formatCode="0.0%"/>
    <numFmt numFmtId="169" formatCode="0.00%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Noto Sans CJK SC"/>
      <family val="2"/>
    </font>
    <font>
      <b val="true"/>
      <sz val="15"/>
      <color rgb="FFFFFFFF"/>
      <name val="Calibri"/>
      <family val="0"/>
      <charset val="1"/>
    </font>
    <font>
      <i val="true"/>
      <sz val="9.5"/>
      <color rgb="FF1E293B"/>
      <name val="Noto Sans CJK SC"/>
      <family val="2"/>
    </font>
    <font>
      <i val="true"/>
      <sz val="9.5"/>
      <color rgb="FF1E293B"/>
      <name val="Calibri"/>
      <family val="0"/>
      <charset val="1"/>
    </font>
    <font>
      <b val="true"/>
      <sz val="9.5"/>
      <color rgb="FFFFFFFF"/>
      <name val="Noto Sans CJK SC"/>
      <family val="2"/>
    </font>
    <font>
      <b val="true"/>
      <sz val="9.5"/>
      <color rgb="FFFFFFFF"/>
      <name val="Calibri"/>
      <family val="0"/>
      <charset val="1"/>
    </font>
    <font>
      <b val="true"/>
      <sz val="14"/>
      <color rgb="FF1B365D"/>
      <name val="Calibri"/>
      <family val="0"/>
      <charset val="1"/>
    </font>
    <font>
      <sz val="8.5"/>
      <color rgb="FF475569"/>
      <name val="Noto Sans CJK SC"/>
      <family val="2"/>
    </font>
    <font>
      <sz val="8.5"/>
      <color rgb="FF475569"/>
      <name val="Calibri"/>
      <family val="0"/>
      <charset val="1"/>
    </font>
    <font>
      <b val="true"/>
      <sz val="10"/>
      <color rgb="FFFFFFFF"/>
      <name val="Noto Sans CJK SC"/>
      <family val="2"/>
    </font>
    <font>
      <b val="true"/>
      <sz val="10"/>
      <color rgb="FFFFFFFF"/>
      <name val="Calibri"/>
      <family val="0"/>
      <charset val="1"/>
    </font>
    <font>
      <sz val="10"/>
      <color rgb="FF0F172A"/>
      <name val="Noto Sans CJK SC"/>
      <family val="2"/>
    </font>
    <font>
      <sz val="10"/>
      <color rgb="FF0F172A"/>
      <name val="Calibri"/>
      <family val="0"/>
      <charset val="1"/>
    </font>
    <font>
      <u val="single"/>
      <sz val="10"/>
      <color rgb="FF1D4ED8"/>
      <name val="Calibri"/>
      <family val="0"/>
      <charset val="1"/>
    </font>
    <font>
      <b val="true"/>
      <sz val="10"/>
      <color rgb="FF1B365D"/>
      <name val="Noto Sans CJK SC"/>
      <family val="2"/>
    </font>
    <font>
      <b val="true"/>
      <sz val="10"/>
      <color rgb="FF1B365D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B365D"/>
        <bgColor rgb="FF1E293B"/>
      </patternFill>
    </fill>
    <fill>
      <patternFill patternType="solid">
        <fgColor rgb="FFE2E8F0"/>
        <bgColor rgb="FFF0F4F8"/>
      </patternFill>
    </fill>
    <fill>
      <patternFill patternType="solid">
        <fgColor rgb="FF2C5282"/>
        <bgColor rgb="FF475569"/>
      </patternFill>
    </fill>
    <fill>
      <patternFill patternType="solid">
        <fgColor rgb="FFF0F4F8"/>
        <bgColor rgb="FFF8FAFC"/>
      </patternFill>
    </fill>
    <fill>
      <patternFill patternType="solid">
        <fgColor rgb="FFF8FAF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1B365D"/>
      </top>
      <bottom style="double">
        <color rgb="FF1B365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6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8FAFC"/>
      <rgbColor rgb="FFF0F4F8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8F0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569"/>
      <rgbColor rgb="FF969696"/>
      <rgbColor rgb="FF1B365D"/>
      <rgbColor rgb="FF339966"/>
      <rgbColor rgb="FF0F172A"/>
      <rgbColor rgb="FF333300"/>
      <rgbColor rgb="FF993300"/>
      <rgbColor rgb="FF993366"/>
      <rgbColor rgb="FF2C5282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4"/>
    <col collapsed="false" customWidth="true" hidden="false" outlineLevel="0" max="3" min="3" style="0" width="32"/>
    <col collapsed="false" customWidth="true" hidden="false" outlineLevel="0" max="4" min="4" style="0" width="23"/>
    <col collapsed="false" customWidth="true" hidden="false" outlineLevel="0" max="5" min="5" style="0" width="24"/>
    <col collapsed="false" customWidth="true" hidden="false" outlineLevel="0" max="7" min="6" style="0" width="35"/>
    <col collapsed="false" customWidth="true" hidden="false" outlineLevel="0" max="8" min="8" style="0" width="31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9.75" hidden="false" customHeight="true" outlineLevel="0" collapsed="false"/>
    <row r="4" customFormat="false" ht="19.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</row>
    <row r="5" customFormat="false" ht="25.5" hidden="false" customHeight="true" outlineLevel="0" collapsed="false">
      <c r="A5" s="4" t="n">
        <f aca="false">D26</f>
        <v>3157.24</v>
      </c>
      <c r="B5" s="4"/>
      <c r="C5" s="4" t="n">
        <f aca="false">SUM(E10:E12)</f>
        <v>2210.068</v>
      </c>
      <c r="D5" s="4"/>
      <c r="E5" s="4" t="n">
        <f aca="false">E13</f>
        <v>947.172</v>
      </c>
      <c r="F5" s="4"/>
      <c r="G5" s="5" t="n">
        <f aca="false">F14</f>
        <v>0.00066</v>
      </c>
      <c r="H5" s="5"/>
    </row>
    <row r="6" customFormat="false" ht="18" hidden="false" customHeight="true" outlineLevel="0" collapsed="false">
      <c r="A6" s="6" t="s">
        <v>6</v>
      </c>
      <c r="B6" s="6"/>
      <c r="C6" s="7" t="s">
        <v>7</v>
      </c>
      <c r="D6" s="7"/>
      <c r="E6" s="7" t="s">
        <v>8</v>
      </c>
      <c r="F6" s="7"/>
      <c r="G6" s="6" t="s">
        <v>9</v>
      </c>
      <c r="H6" s="6"/>
    </row>
    <row r="7" customFormat="false" ht="12" hidden="false" customHeight="true" outlineLevel="0" collapsed="false"/>
    <row r="8" customFormat="false" ht="12" hidden="false" customHeight="true" outlineLevel="0" collapsed="false"/>
    <row r="9" customFormat="false" ht="24" hidden="false" customHeight="true" outlineLevel="0" collapsed="false">
      <c r="A9" s="8" t="s">
        <v>10</v>
      </c>
      <c r="B9" s="9" t="s">
        <v>11</v>
      </c>
      <c r="C9" s="8" t="s">
        <v>12</v>
      </c>
      <c r="D9" s="10" t="s">
        <v>13</v>
      </c>
      <c r="E9" s="10" t="s">
        <v>14</v>
      </c>
      <c r="F9" s="10" t="s">
        <v>15</v>
      </c>
      <c r="G9" s="10" t="s">
        <v>16</v>
      </c>
      <c r="H9" s="9" t="s">
        <v>17</v>
      </c>
    </row>
    <row r="10" customFormat="false" ht="21" hidden="false" customHeight="true" outlineLevel="0" collapsed="false">
      <c r="A10" s="11" t="s">
        <v>18</v>
      </c>
      <c r="B10" s="12" t="s">
        <v>19</v>
      </c>
      <c r="C10" s="13" t="str">
        <f aca="false">HYPERLINK("https://investor.vanguard.com/investment-products/etfs/profile/voo", "Vanguard S&amp;P 500 ETF")</f>
        <v>Vanguard S&amp;P 500 ETF</v>
      </c>
      <c r="D10" s="14" t="n">
        <v>0.3</v>
      </c>
      <c r="E10" s="15" t="n">
        <f aca="false">$A$5*D10</f>
        <v>947.172</v>
      </c>
      <c r="F10" s="16" t="n">
        <v>0.0003</v>
      </c>
      <c r="G10" s="15" t="n">
        <f aca="false">E10*F10</f>
        <v>0.2841516</v>
      </c>
      <c r="H10" s="12" t="s">
        <v>20</v>
      </c>
    </row>
    <row r="11" customFormat="false" ht="21" hidden="false" customHeight="true" outlineLevel="0" collapsed="false">
      <c r="A11" s="11" t="s">
        <v>21</v>
      </c>
      <c r="B11" s="12" t="s">
        <v>22</v>
      </c>
      <c r="C11" s="13" t="str">
        <f aca="false">HYPERLINK("https://www.invesco.com/us-rest/contentdetail?contentId=5b4d8e58e0737710VgnVCM1000006e36b50aRCRD", "Invesco NASDAQ 100 ETF")</f>
        <v>Invesco NASDAQ 100 ETF</v>
      </c>
      <c r="D11" s="14" t="n">
        <v>0.3</v>
      </c>
      <c r="E11" s="15" t="n">
        <f aca="false">$A$5*D11</f>
        <v>947.172</v>
      </c>
      <c r="F11" s="16" t="n">
        <v>0.0015</v>
      </c>
      <c r="G11" s="15" t="n">
        <f aca="false">E11*F11</f>
        <v>1.420758</v>
      </c>
      <c r="H11" s="12" t="s">
        <v>20</v>
      </c>
    </row>
    <row r="12" customFormat="false" ht="21" hidden="false" customHeight="true" outlineLevel="0" collapsed="false">
      <c r="A12" s="11" t="s">
        <v>23</v>
      </c>
      <c r="B12" s="12" t="s">
        <v>24</v>
      </c>
      <c r="C12" s="13" t="str">
        <f aca="false">HYPERLINK("https://investor.vanguard.com/investment-products/etfs/profile/vea", "Vanguard Developed Markets ETF")</f>
        <v>Vanguard Developed Markets ETF</v>
      </c>
      <c r="D12" s="14" t="n">
        <v>0.1</v>
      </c>
      <c r="E12" s="15" t="n">
        <f aca="false">$A$5*D12</f>
        <v>315.724</v>
      </c>
      <c r="F12" s="16" t="n">
        <v>0.0003</v>
      </c>
      <c r="G12" s="15" t="n">
        <f aca="false">E12*F12</f>
        <v>0.0947172</v>
      </c>
      <c r="H12" s="12" t="s">
        <v>25</v>
      </c>
    </row>
    <row r="13" customFormat="false" ht="21" hidden="false" customHeight="true" outlineLevel="0" collapsed="false">
      <c r="A13" s="11" t="s">
        <v>26</v>
      </c>
      <c r="B13" s="12" t="s">
        <v>27</v>
      </c>
      <c r="C13" s="13" t="str">
        <f aca="false">HYPERLINK("https://investor.vanguard.com/investment-products/etfs/profile/vgit", "Vanguard Interm-Term Treasury ETF")</f>
        <v>Vanguard Interm-Term Treasury ETF</v>
      </c>
      <c r="D13" s="14" t="n">
        <v>0.3</v>
      </c>
      <c r="E13" s="15" t="n">
        <f aca="false">$A$5*D13</f>
        <v>947.172</v>
      </c>
      <c r="F13" s="16" t="n">
        <v>0.0003</v>
      </c>
      <c r="G13" s="15" t="n">
        <f aca="false">E13*F13</f>
        <v>0.2841516</v>
      </c>
      <c r="H13" s="12" t="s">
        <v>20</v>
      </c>
    </row>
    <row r="14" customFormat="false" ht="22.5" hidden="false" customHeight="true" outlineLevel="0" collapsed="false">
      <c r="A14" s="17" t="s">
        <v>28</v>
      </c>
      <c r="B14" s="18" t="s">
        <v>29</v>
      </c>
      <c r="C14" s="19" t="s">
        <v>30</v>
      </c>
      <c r="D14" s="20" t="n">
        <f aca="false">SUM(D10:D13)</f>
        <v>1</v>
      </c>
      <c r="E14" s="21" t="n">
        <f aca="false">SUM(E10:E13)</f>
        <v>3157.24</v>
      </c>
      <c r="F14" s="22" t="n">
        <f aca="false">SUMPRODUCT(D10:D13,F10:F13)</f>
        <v>0.00066</v>
      </c>
      <c r="G14" s="21" t="n">
        <f aca="false">SUM(G10:G13)</f>
        <v>2.0837784</v>
      </c>
      <c r="H14" s="23" t="s">
        <v>31</v>
      </c>
    </row>
    <row r="15" customFormat="false" ht="12" hidden="false" customHeight="true" outlineLevel="0" collapsed="false"/>
    <row r="16" customFormat="false" ht="12" hidden="false" customHeight="true" outlineLevel="0" collapsed="false"/>
    <row r="17" customFormat="false" ht="24" hidden="false" customHeight="true" outlineLevel="0" collapsed="false">
      <c r="A17" s="9" t="s">
        <v>32</v>
      </c>
      <c r="B17" s="9" t="s">
        <v>33</v>
      </c>
      <c r="C17" s="8" t="s">
        <v>34</v>
      </c>
      <c r="D17" s="10" t="s">
        <v>35</v>
      </c>
      <c r="E17" s="10" t="s">
        <v>36</v>
      </c>
      <c r="F17" s="10" t="s">
        <v>37</v>
      </c>
      <c r="G17" s="10" t="s">
        <v>38</v>
      </c>
      <c r="H17" s="10" t="s">
        <v>39</v>
      </c>
    </row>
    <row r="18" customFormat="false" ht="19.5" hidden="false" customHeight="true" outlineLevel="0" collapsed="false">
      <c r="A18" s="24" t="s">
        <v>40</v>
      </c>
      <c r="B18" s="12" t="s">
        <v>41</v>
      </c>
      <c r="C18" s="11" t="s">
        <v>42</v>
      </c>
      <c r="D18" s="25" t="n">
        <v>3157.24</v>
      </c>
      <c r="E18" s="15" t="n">
        <f aca="false">IF(D18="","",SUM($D$18:D18))</f>
        <v>3157.24</v>
      </c>
      <c r="F18" s="15" t="n">
        <f aca="false">IF(D18="","",D18*0.6)</f>
        <v>1894.344</v>
      </c>
      <c r="G18" s="15" t="n">
        <f aca="false">IF(D18="","",D18*0.1)</f>
        <v>315.724</v>
      </c>
      <c r="H18" s="15" t="n">
        <f aca="false">IF(D18="","",D18*0.3)</f>
        <v>947.172</v>
      </c>
    </row>
    <row r="19" customFormat="false" ht="19.5" hidden="false" customHeight="true" outlineLevel="0" collapsed="false">
      <c r="A19" s="24" t="s">
        <v>43</v>
      </c>
      <c r="B19" s="24"/>
      <c r="C19" s="11"/>
      <c r="D19" s="25"/>
      <c r="E19" s="15" t="str">
        <f aca="false">IF(D19="","",SUM($D$18:D19))</f>
        <v/>
      </c>
      <c r="F19" s="15" t="str">
        <f aca="false">IF(D19="","",D19*0.6)</f>
        <v/>
      </c>
      <c r="G19" s="15" t="str">
        <f aca="false">IF(D19="","",D19*0.1)</f>
        <v/>
      </c>
      <c r="H19" s="15" t="str">
        <f aca="false">IF(D19="","",D19*0.3)</f>
        <v/>
      </c>
    </row>
    <row r="20" customFormat="false" ht="19.5" hidden="false" customHeight="true" outlineLevel="0" collapsed="false">
      <c r="A20" s="24" t="s">
        <v>44</v>
      </c>
      <c r="B20" s="24"/>
      <c r="C20" s="11"/>
      <c r="D20" s="25"/>
      <c r="E20" s="15" t="str">
        <f aca="false">IF(D20="","",SUM($D$18:D20))</f>
        <v/>
      </c>
      <c r="F20" s="15" t="str">
        <f aca="false">IF(D20="","",D20*0.6)</f>
        <v/>
      </c>
      <c r="G20" s="15" t="str">
        <f aca="false">IF(D20="","",D20*0.1)</f>
        <v/>
      </c>
      <c r="H20" s="15" t="str">
        <f aca="false">IF(D20="","",D20*0.3)</f>
        <v/>
      </c>
    </row>
    <row r="21" customFormat="false" ht="19.5" hidden="false" customHeight="true" outlineLevel="0" collapsed="false">
      <c r="A21" s="24" t="s">
        <v>45</v>
      </c>
      <c r="B21" s="24"/>
      <c r="C21" s="11"/>
      <c r="D21" s="25"/>
      <c r="E21" s="15" t="str">
        <f aca="false">IF(D21="","",SUM($D$18:D21))</f>
        <v/>
      </c>
      <c r="F21" s="15" t="str">
        <f aca="false">IF(D21="","",D21*0.6)</f>
        <v/>
      </c>
      <c r="G21" s="15" t="str">
        <f aca="false">IF(D21="","",D21*0.1)</f>
        <v/>
      </c>
      <c r="H21" s="15" t="str">
        <f aca="false">IF(D21="","",D21*0.3)</f>
        <v/>
      </c>
    </row>
    <row r="22" customFormat="false" ht="19.5" hidden="false" customHeight="true" outlineLevel="0" collapsed="false">
      <c r="A22" s="24" t="s">
        <v>46</v>
      </c>
      <c r="B22" s="24"/>
      <c r="C22" s="11"/>
      <c r="D22" s="25"/>
      <c r="E22" s="15" t="str">
        <f aca="false">IF(D22="","",SUM($D$18:D22))</f>
        <v/>
      </c>
      <c r="F22" s="15" t="str">
        <f aca="false">IF(D22="","",D22*0.6)</f>
        <v/>
      </c>
      <c r="G22" s="15" t="str">
        <f aca="false">IF(D22="","",D22*0.1)</f>
        <v/>
      </c>
      <c r="H22" s="15" t="str">
        <f aca="false">IF(D22="","",D22*0.3)</f>
        <v/>
      </c>
    </row>
    <row r="23" customFormat="false" ht="19.5" hidden="false" customHeight="true" outlineLevel="0" collapsed="false">
      <c r="A23" s="24" t="s">
        <v>47</v>
      </c>
      <c r="B23" s="24"/>
      <c r="C23" s="11"/>
      <c r="D23" s="25"/>
      <c r="E23" s="15" t="str">
        <f aca="false">IF(D23="","",SUM($D$18:D23))</f>
        <v/>
      </c>
      <c r="F23" s="15" t="str">
        <f aca="false">IF(D23="","",D23*0.6)</f>
        <v/>
      </c>
      <c r="G23" s="15" t="str">
        <f aca="false">IF(D23="","",D23*0.1)</f>
        <v/>
      </c>
      <c r="H23" s="15" t="str">
        <f aca="false">IF(D23="","",D23*0.3)</f>
        <v/>
      </c>
    </row>
    <row r="24" customFormat="false" ht="19.5" hidden="false" customHeight="true" outlineLevel="0" collapsed="false">
      <c r="A24" s="24" t="s">
        <v>48</v>
      </c>
      <c r="B24" s="24"/>
      <c r="C24" s="11"/>
      <c r="D24" s="25"/>
      <c r="E24" s="15" t="str">
        <f aca="false">IF(D24="","",SUM($D$18:D24))</f>
        <v/>
      </c>
      <c r="F24" s="15" t="str">
        <f aca="false">IF(D24="","",D24*0.6)</f>
        <v/>
      </c>
      <c r="G24" s="15" t="str">
        <f aca="false">IF(D24="","",D24*0.1)</f>
        <v/>
      </c>
      <c r="H24" s="15" t="str">
        <f aca="false">IF(D24="","",D24*0.3)</f>
        <v/>
      </c>
    </row>
    <row r="25" customFormat="false" ht="19.5" hidden="false" customHeight="true" outlineLevel="0" collapsed="false">
      <c r="A25" s="24" t="s">
        <v>49</v>
      </c>
      <c r="B25" s="24"/>
      <c r="C25" s="11"/>
      <c r="D25" s="25"/>
      <c r="E25" s="15" t="str">
        <f aca="false">IF(D25="","",SUM($D$18:D25))</f>
        <v/>
      </c>
      <c r="F25" s="15" t="str">
        <f aca="false">IF(D25="","",D25*0.6)</f>
        <v/>
      </c>
      <c r="G25" s="15" t="str">
        <f aca="false">IF(D25="","",D25*0.1)</f>
        <v/>
      </c>
      <c r="H25" s="15" t="str">
        <f aca="false">IF(D25="","",D25*0.3)</f>
        <v/>
      </c>
    </row>
    <row r="26" customFormat="false" ht="22.5" hidden="false" customHeight="true" outlineLevel="0" collapsed="false">
      <c r="A26" s="23" t="s">
        <v>50</v>
      </c>
      <c r="B26" s="18" t="s">
        <v>29</v>
      </c>
      <c r="C26" s="17" t="s">
        <v>51</v>
      </c>
      <c r="D26" s="21" t="n">
        <f aca="false">SUM(D18:D25)</f>
        <v>3157.24</v>
      </c>
      <c r="E26" s="21" t="n">
        <f aca="false">D26</f>
        <v>3157.24</v>
      </c>
      <c r="F26" s="21" t="n">
        <f aca="false">SUM(F18:F25)</f>
        <v>1894.344</v>
      </c>
      <c r="G26" s="21" t="n">
        <f aca="false">SUM(G18:G25)</f>
        <v>315.724</v>
      </c>
      <c r="H26" s="21" t="n">
        <f aca="false">SUM(H18:H25)</f>
        <v>947.172</v>
      </c>
    </row>
  </sheetData>
  <mergeCells count="14">
    <mergeCell ref="A1:H1"/>
    <mergeCell ref="A2:H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2026-10-15T02:04:26Z</dcterms:created>
  <dc:creator>openpyxl</dc:creator>
  <dc:description/>
  <dc:language>en-US</dc:language>
  <cp:lastModifiedBy/>
  <dcterms:modified xsi:type="dcterms:W3CDTF">2026-10-15T02:04:26Z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